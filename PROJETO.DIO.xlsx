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23145808\Documents\"/>
    </mc:Choice>
  </mc:AlternateContent>
  <xr:revisionPtr revIDLastSave="0" documentId="13_ncr:1_{1E7C3DF1-3901-433B-B328-B760D58BA0F4}" xr6:coauthVersionLast="47" xr6:coauthVersionMax="47" xr10:uidLastSave="{00000000-0000-0000-0000-000000000000}"/>
  <bookViews>
    <workbookView xWindow="-108" yWindow="-108" windowWidth="23256" windowHeight="12576" xr2:uid="{346880CD-4B31-46FC-A560-317C4294AE5D}"/>
  </bookViews>
  <sheets>
    <sheet name="Sheet1" sheetId="1" r:id="rId1"/>
    <sheet name="Sheet2" sheetId="2" r:id="rId2"/>
  </sheets>
  <definedNames>
    <definedName name="aporte">Sheet1!$F$19</definedName>
    <definedName name="patrimonio">Sheet1!$F$22</definedName>
    <definedName name="qtd_anos">Sheet1!$F$20</definedName>
    <definedName name="rendimento_carteira">Sheet1!$F$15</definedName>
    <definedName name="taxa_mensal">Sheet1!$F$21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F39" i="1" s="1"/>
  <c r="E40" i="1"/>
  <c r="F40" i="1" s="1"/>
  <c r="E41" i="1"/>
  <c r="F41" i="1" s="1"/>
  <c r="E42" i="1"/>
  <c r="F42" i="1" s="1"/>
  <c r="E43" i="1"/>
  <c r="F43" i="1" s="1"/>
  <c r="E38" i="1"/>
  <c r="F38" i="1" s="1"/>
  <c r="A10" i="2"/>
  <c r="A11" i="2"/>
  <c r="A12" i="2"/>
  <c r="A13" i="2"/>
  <c r="A14" i="2"/>
  <c r="A15" i="2"/>
  <c r="A16" i="2"/>
  <c r="A17" i="2"/>
  <c r="A18" i="2"/>
  <c r="A19" i="2"/>
  <c r="A20" i="2"/>
  <c r="A21" i="2"/>
  <c r="A5" i="2"/>
  <c r="A6" i="2"/>
  <c r="A7" i="2"/>
  <c r="A8" i="2"/>
  <c r="A9" i="2"/>
  <c r="A4" i="2"/>
  <c r="F16" i="1"/>
  <c r="F19" i="1" s="1"/>
  <c r="F44" i="1" l="1"/>
  <c r="E30" i="1"/>
  <c r="F30" i="1" s="1"/>
  <c r="F22" i="1"/>
  <c r="F23" i="1" s="1"/>
  <c r="E27" i="1"/>
  <c r="F27" i="1" s="1"/>
  <c r="E26" i="1"/>
  <c r="F26" i="1" s="1"/>
  <c r="E29" i="1"/>
  <c r="F29" i="1" s="1"/>
  <c r="E28" i="1"/>
  <c r="F28" i="1" s="1"/>
</calcChain>
</file>

<file path=xl/sharedStrings.xml><?xml version="1.0" encoding="utf-8"?>
<sst xmlns="http://schemas.openxmlformats.org/spreadsheetml/2006/main" count="69" uniqueCount="33">
  <si>
    <t>INVESTIMENTO MENSAL</t>
  </si>
  <si>
    <t>Quanto investir por mês?</t>
  </si>
  <si>
    <t>Por quantos anos?</t>
  </si>
  <si>
    <t>Taxa de Rendimento Mensal?</t>
  </si>
  <si>
    <t>Dividendos Mensais?</t>
  </si>
  <si>
    <t>Patrimônio acumulado?</t>
  </si>
  <si>
    <t>CENÁRIOS</t>
  </si>
  <si>
    <t>Valor em 2 anos?</t>
  </si>
  <si>
    <t>Valor em 5 anos?</t>
  </si>
  <si>
    <t>Valor em 10 anos?</t>
  </si>
  <si>
    <t>Valor em 20 anos?</t>
  </si>
  <si>
    <t>Valor em 30 anos?</t>
  </si>
  <si>
    <t>DIVIDENDO</t>
  </si>
  <si>
    <t>CONFIGURAÇÕES</t>
  </si>
  <si>
    <t>Salário</t>
  </si>
  <si>
    <t>Rendimento Carteira</t>
  </si>
  <si>
    <t>Seguestão de Investimento (30%)</t>
  </si>
  <si>
    <t xml:space="preserve">VALOR A SER INVESTIDO POR MÊS </t>
  </si>
  <si>
    <t>PERFIL</t>
  </si>
  <si>
    <t>TIPO DE FII</t>
  </si>
  <si>
    <t xml:space="preserve">PAPEL </t>
  </si>
  <si>
    <t>TIJOLO</t>
  </si>
  <si>
    <t>HÍBRIDOS</t>
  </si>
  <si>
    <t>FOFs</t>
  </si>
  <si>
    <t>DESENVOLVIMENTO</t>
  </si>
  <si>
    <t>HOTELARIAS</t>
  </si>
  <si>
    <t>PERCENTUAL SUGERIDO</t>
  </si>
  <si>
    <t>VALORES</t>
  </si>
  <si>
    <t>AGRESSIVO</t>
  </si>
  <si>
    <t>CONSERVADOR</t>
  </si>
  <si>
    <t>%</t>
  </si>
  <si>
    <t>CHAVE</t>
  </si>
  <si>
    <t>MODERADO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</si>
</sst>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BRL]\ * #,##0.00_);_([$BRL]\ * \(#,##0.00\);_([$BRL]\ * &quot;-&quot;??_);_(@_)"/>
    <numFmt numFmtId="168" formatCode="[$BRL]\ 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name val="Aptos Display"/>
      <family val="2"/>
      <scheme val="maj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0" borderId="4" xfId="0" applyBorder="1" applyAlignment="1">
      <alignment horizontal="center" vertical="center"/>
    </xf>
    <xf numFmtId="164" fontId="0" fillId="0" borderId="4" xfId="0" applyNumberFormat="1" applyBorder="1" applyAlignment="1">
      <alignment vertical="center"/>
    </xf>
    <xf numFmtId="10" fontId="0" fillId="0" borderId="4" xfId="1" applyNumberFormat="1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2" fillId="4" borderId="4" xfId="0" applyNumberFormat="1" applyFont="1" applyFill="1" applyBorder="1" applyAlignment="1">
      <alignment vertical="center"/>
    </xf>
    <xf numFmtId="164" fontId="2" fillId="4" borderId="6" xfId="0" applyNumberFormat="1" applyFont="1" applyFill="1" applyBorder="1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9" fontId="0" fillId="0" borderId="4" xfId="1" applyFont="1" applyBorder="1"/>
    <xf numFmtId="164" fontId="0" fillId="0" borderId="6" xfId="0" applyNumberFormat="1" applyBorder="1"/>
    <xf numFmtId="0" fontId="4" fillId="3" borderId="16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/>
    </xf>
    <xf numFmtId="0" fontId="4" fillId="3" borderId="17" xfId="0" applyFont="1" applyFill="1" applyBorder="1" applyAlignment="1">
      <alignment horizontal="center"/>
    </xf>
    <xf numFmtId="0" fontId="2" fillId="3" borderId="18" xfId="0" applyFont="1" applyFill="1" applyBorder="1" applyAlignment="1">
      <alignment horizontal="center" vertical="center"/>
    </xf>
    <xf numFmtId="164" fontId="0" fillId="4" borderId="19" xfId="0" applyNumberFormat="1" applyFill="1" applyBorder="1" applyAlignment="1">
      <alignment vertical="center"/>
    </xf>
    <xf numFmtId="164" fontId="0" fillId="4" borderId="4" xfId="0" applyNumberFormat="1" applyFill="1" applyBorder="1" applyAlignment="1">
      <alignment vertical="center"/>
    </xf>
    <xf numFmtId="164" fontId="0" fillId="4" borderId="20" xfId="0" applyNumberFormat="1" applyFill="1" applyBorder="1" applyAlignment="1">
      <alignment vertical="center"/>
    </xf>
    <xf numFmtId="164" fontId="0" fillId="4" borderId="6" xfId="0" applyNumberFormat="1" applyFill="1" applyBorder="1" applyAlignment="1">
      <alignment vertical="center"/>
    </xf>
    <xf numFmtId="0" fontId="5" fillId="4" borderId="3" xfId="0" applyFont="1" applyFill="1" applyBorder="1" applyAlignment="1">
      <alignment horizontal="left" indent="1"/>
    </xf>
    <xf numFmtId="0" fontId="5" fillId="4" borderId="19" xfId="0" applyFont="1" applyFill="1" applyBorder="1" applyAlignment="1">
      <alignment horizontal="left" indent="1"/>
    </xf>
    <xf numFmtId="0" fontId="5" fillId="4" borderId="5" xfId="0" applyFont="1" applyFill="1" applyBorder="1" applyAlignment="1">
      <alignment horizontal="left" indent="1"/>
    </xf>
    <xf numFmtId="0" fontId="5" fillId="4" borderId="20" xfId="0" applyFont="1" applyFill="1" applyBorder="1" applyAlignment="1">
      <alignment horizontal="left" indent="1"/>
    </xf>
    <xf numFmtId="0" fontId="6" fillId="0" borderId="3" xfId="0" applyFont="1" applyBorder="1" applyAlignment="1">
      <alignment horizontal="left" indent="1"/>
    </xf>
    <xf numFmtId="0" fontId="6" fillId="0" borderId="19" xfId="0" applyFont="1" applyBorder="1" applyAlignment="1">
      <alignment horizontal="left" indent="1"/>
    </xf>
    <xf numFmtId="0" fontId="0" fillId="0" borderId="0" xfId="0" applyAlignment="1">
      <alignment horizontal="left" indent="1"/>
    </xf>
    <xf numFmtId="0" fontId="6" fillId="4" borderId="3" xfId="0" applyFont="1" applyFill="1" applyBorder="1" applyAlignment="1">
      <alignment horizontal="left" indent="1"/>
    </xf>
    <xf numFmtId="0" fontId="6" fillId="4" borderId="5" xfId="0" applyFont="1" applyFill="1" applyBorder="1" applyAlignment="1">
      <alignment horizontal="left" indent="1"/>
    </xf>
    <xf numFmtId="9" fontId="0" fillId="0" borderId="0" xfId="1" applyFont="1" applyAlignment="1">
      <alignment horizontal="center"/>
    </xf>
    <xf numFmtId="168" fontId="0" fillId="0" borderId="0" xfId="0" applyNumberFormat="1" applyAlignment="1">
      <alignment horizontal="center"/>
    </xf>
    <xf numFmtId="0" fontId="2" fillId="6" borderId="0" xfId="0" applyFont="1" applyFill="1"/>
    <xf numFmtId="168" fontId="2" fillId="6" borderId="0" xfId="0" applyNumberFormat="1" applyFont="1" applyFill="1" applyAlignment="1">
      <alignment horizontal="center" vertical="center"/>
    </xf>
    <xf numFmtId="0" fontId="2" fillId="7" borderId="21" xfId="0" applyFont="1" applyFill="1" applyBorder="1" applyAlignment="1">
      <alignment horizontal="center"/>
    </xf>
    <xf numFmtId="0" fontId="2" fillId="7" borderId="22" xfId="0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0" fontId="0" fillId="0" borderId="11" xfId="0" applyBorder="1"/>
    <xf numFmtId="9" fontId="0" fillId="0" borderId="10" xfId="1" applyFont="1" applyBorder="1" applyAlignment="1">
      <alignment horizontal="center"/>
    </xf>
    <xf numFmtId="0" fontId="0" fillId="0" borderId="0" xfId="0" applyBorder="1"/>
    <xf numFmtId="9" fontId="0" fillId="0" borderId="13" xfId="1" applyFont="1" applyBorder="1" applyAlignment="1">
      <alignment horizontal="center"/>
    </xf>
    <xf numFmtId="0" fontId="0" fillId="0" borderId="14" xfId="0" applyBorder="1"/>
    <xf numFmtId="9" fontId="0" fillId="0" borderId="0" xfId="1" applyFont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12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9" fontId="0" fillId="0" borderId="23" xfId="1" applyFont="1" applyBorder="1" applyAlignment="1">
      <alignment horizontal="center" vertical="center"/>
    </xf>
    <xf numFmtId="0" fontId="2" fillId="4" borderId="0" xfId="0" applyFont="1" applyFill="1"/>
    <xf numFmtId="168" fontId="2" fillId="4" borderId="0" xfId="0" applyNumberFormat="1" applyFont="1" applyFill="1" applyAlignment="1">
      <alignment horizontal="center"/>
    </xf>
    <xf numFmtId="0" fontId="2" fillId="5" borderId="0" xfId="0" applyFont="1" applyFill="1"/>
    <xf numFmtId="0" fontId="2" fillId="5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CENÁRIOS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Sheet1!$D$26:$D$30</c:f>
              <c:strCache>
                <c:ptCount val="5"/>
                <c:pt idx="0">
                  <c:v>Valor em 2 anos?</c:v>
                </c:pt>
                <c:pt idx="1">
                  <c:v>Valor em 5 anos?</c:v>
                </c:pt>
                <c:pt idx="2">
                  <c:v>Valor em 10 anos?</c:v>
                </c:pt>
                <c:pt idx="3">
                  <c:v>Valor em 20 anos?</c:v>
                </c:pt>
                <c:pt idx="4">
                  <c:v>Valor em 30 anos?</c:v>
                </c:pt>
              </c:strCache>
            </c:strRef>
          </c:cat>
          <c:val>
            <c:numRef>
              <c:f>Sheet1!$E$26:$E$30</c:f>
              <c:numCache>
                <c:formatCode>_([$BRL]\ * #,##0.00_);_([$BRL]\ * \(#,##0.00\);_([$BRL]\ * "-"??_);_(@_)</c:formatCode>
                <c:ptCount val="5"/>
                <c:pt idx="0">
                  <c:v>16338.518196348954</c:v>
                </c:pt>
                <c:pt idx="1">
                  <c:v>50282.411615555058</c:v>
                </c:pt>
                <c:pt idx="2">
                  <c:v>146074.59975288005</c:v>
                </c:pt>
                <c:pt idx="3">
                  <c:v>676229.39597911399</c:v>
                </c:pt>
                <c:pt idx="4">
                  <c:v>2600342.8861900507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7-4FD5-AD5C-49C1D7B542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68178776"/>
        <c:axId val="868180216"/>
        <c:axId val="0"/>
      </c:bar3DChart>
      <c:catAx>
        <c:axId val="868178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180216"/>
        <c:crosses val="autoZero"/>
        <c:auto val="1"/>
        <c:lblAlgn val="ctr"/>
        <c:lblOffset val="100"/>
        <c:noMultiLvlLbl val="0"/>
      </c:catAx>
      <c:valAx>
        <c:axId val="868180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BRL]\ * #,##0.00_);_([$BRL]\ * \(#,##0.00\);_([$BRL]\ 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1787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PERCENTUAL SUGERIDO POR PERFIL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Sheet1!$D$38:$D$43</c:f>
              <c:strCache>
                <c:ptCount val="6"/>
                <c:pt idx="0">
                  <c:v>PAPEL 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Sheet1!$E$38:$E$43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F-469D-904C-30312EC27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167640</xdr:colOff>
      <xdr:row>0</xdr:row>
      <xdr:rowOff>83820</xdr:rowOff>
    </xdr:from>
    <xdr:to>
      <xdr:col>6</xdr:col>
      <xdr:colOff>144780</xdr:colOff>
      <xdr:row>11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2E70E31-E2E8-7B7B-0243-DE19C1B92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83820"/>
          <a:ext cx="6339840" cy="2004060"/>
        </a:xfrm>
        <a:prstGeom prst="rect">
          <a:avLst/>
        </a:prstGeom>
      </xdr:spPr>
    </xdr:pic>
    <xdr:clientData/>
  </xdr:twoCellAnchor>
  <xdr:twoCellAnchor>
    <xdr:from>
      <xdr:col>3</xdr:col>
      <xdr:colOff>407670</xdr:colOff>
      <xdr:row>61</xdr:row>
      <xdr:rowOff>95250</xdr:rowOff>
    </xdr:from>
    <xdr:to>
      <xdr:col>5</xdr:col>
      <xdr:colOff>746760</xdr:colOff>
      <xdr:row>79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576A62-4612-F6A9-75D3-8997838264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803910</xdr:colOff>
      <xdr:row>44</xdr:row>
      <xdr:rowOff>118110</xdr:rowOff>
    </xdr:from>
    <xdr:to>
      <xdr:col>5</xdr:col>
      <xdr:colOff>217170</xdr:colOff>
      <xdr:row>59</xdr:row>
      <xdr:rowOff>118110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14F891-3CBA-648C-FEC6-5BB205EFD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8595-3BD3-4419-A86D-50E95FB2D7B6}">
  <dimension ref="A1:I88"/>
  <sheetViews>
    <sheetView showGridLines="0" tabSelected="1" topLeftCell="C39" workbookViewId="0">
      <selection activeCell="G59" sqref="G59"/>
    </sheetView>
  </sheetViews>
  <sheetFormatPr defaultColWidth="0" defaultRowHeight="14.4" x14ac:dyDescent="0.3"/>
  <cols>
    <col min="1" max="1" width="0" hidden="1" customWidth="1"/>
    <col min="3" max="3" width="3.77734375" customWidth="1"/>
    <col min="4" max="4" width="43.6640625" customWidth="1"/>
    <col min="5" max="5" width="31.5546875" bestFit="1" customWidth="1"/>
    <col min="6" max="6" width="13.77734375" bestFit="1" customWidth="1"/>
    <col min="7" max="7" width="6.6640625" customWidth="1"/>
    <col min="8" max="10" width="8.88671875" hidden="1" customWidth="1"/>
    <col min="11" max="16384" width="8.88671875" hidden="1"/>
  </cols>
  <sheetData>
    <row r="1" spans="1:9" x14ac:dyDescent="0.3">
      <c r="A1" s="1"/>
      <c r="B1" s="1"/>
      <c r="C1" s="10"/>
      <c r="D1" s="10"/>
      <c r="E1" s="10"/>
      <c r="F1" s="10"/>
      <c r="G1" s="10"/>
      <c r="H1" s="10"/>
      <c r="I1" s="10"/>
    </row>
    <row r="2" spans="1:9" x14ac:dyDescent="0.3">
      <c r="A2" s="1"/>
      <c r="B2" s="1"/>
      <c r="C2" s="10"/>
      <c r="D2" s="10"/>
      <c r="E2" s="10"/>
      <c r="F2" s="10"/>
      <c r="G2" s="10"/>
      <c r="H2" s="10"/>
      <c r="I2" s="10"/>
    </row>
    <row r="3" spans="1:9" x14ac:dyDescent="0.3">
      <c r="A3" s="1"/>
      <c r="B3" s="1"/>
      <c r="C3" s="10"/>
      <c r="D3" s="10"/>
      <c r="E3" s="10"/>
      <c r="F3" s="10"/>
      <c r="G3" s="10"/>
      <c r="H3" s="10"/>
      <c r="I3" s="10"/>
    </row>
    <row r="4" spans="1:9" x14ac:dyDescent="0.3">
      <c r="A4" s="1"/>
      <c r="B4" s="1"/>
      <c r="C4" s="10"/>
      <c r="D4" s="10"/>
      <c r="E4" s="10"/>
      <c r="F4" s="10"/>
      <c r="G4" s="10"/>
      <c r="H4" s="10"/>
      <c r="I4" s="10"/>
    </row>
    <row r="5" spans="1:9" x14ac:dyDescent="0.3">
      <c r="A5" s="1"/>
      <c r="B5" s="1"/>
      <c r="C5" s="10"/>
      <c r="D5" s="10"/>
      <c r="E5" s="10"/>
      <c r="F5" s="10"/>
      <c r="G5" s="10"/>
      <c r="H5" s="10"/>
      <c r="I5" s="10"/>
    </row>
    <row r="6" spans="1:9" x14ac:dyDescent="0.3">
      <c r="A6" s="1"/>
      <c r="B6" s="1"/>
      <c r="C6" s="10"/>
      <c r="D6" s="10"/>
      <c r="E6" s="10"/>
      <c r="F6" s="10"/>
      <c r="G6" s="10"/>
      <c r="H6" s="10"/>
      <c r="I6" s="10"/>
    </row>
    <row r="7" spans="1:9" x14ac:dyDescent="0.3">
      <c r="A7" s="1"/>
      <c r="B7" s="1"/>
      <c r="C7" s="10"/>
      <c r="D7" s="10"/>
      <c r="E7" s="10"/>
      <c r="F7" s="10"/>
      <c r="G7" s="10"/>
      <c r="H7" s="10"/>
      <c r="I7" s="10"/>
    </row>
    <row r="8" spans="1:9" x14ac:dyDescent="0.3">
      <c r="A8" s="1"/>
      <c r="B8" s="1"/>
      <c r="C8" s="10"/>
      <c r="D8" s="10"/>
      <c r="E8" s="10"/>
      <c r="F8" s="10"/>
      <c r="G8" s="10"/>
      <c r="H8" s="10"/>
      <c r="I8" s="10"/>
    </row>
    <row r="9" spans="1:9" x14ac:dyDescent="0.3">
      <c r="A9" s="1"/>
      <c r="B9" s="1"/>
      <c r="C9" s="10"/>
      <c r="D9" s="10"/>
      <c r="E9" s="10"/>
      <c r="F9" s="10"/>
      <c r="G9" s="10"/>
      <c r="H9" s="10"/>
      <c r="I9" s="10"/>
    </row>
    <row r="12" spans="1:9" ht="15" thickBot="1" x14ac:dyDescent="0.35"/>
    <row r="13" spans="1:9" ht="21" x14ac:dyDescent="0.3">
      <c r="D13" s="12" t="s">
        <v>13</v>
      </c>
      <c r="E13" s="13"/>
      <c r="F13" s="14"/>
    </row>
    <row r="14" spans="1:9" ht="15.6" x14ac:dyDescent="0.3">
      <c r="D14" s="27" t="s">
        <v>14</v>
      </c>
      <c r="E14" s="28"/>
      <c r="F14" s="3">
        <v>2000</v>
      </c>
    </row>
    <row r="15" spans="1:9" ht="15.6" x14ac:dyDescent="0.3">
      <c r="D15" s="27" t="s">
        <v>15</v>
      </c>
      <c r="E15" s="28"/>
      <c r="F15" s="15">
        <v>0.01</v>
      </c>
    </row>
    <row r="16" spans="1:9" ht="16.2" thickBot="1" x14ac:dyDescent="0.35">
      <c r="D16" s="29" t="s">
        <v>16</v>
      </c>
      <c r="E16" s="30"/>
      <c r="F16" s="16">
        <f>F14*0.3</f>
        <v>600</v>
      </c>
    </row>
    <row r="17" spans="1:6" ht="15" thickBot="1" x14ac:dyDescent="0.35"/>
    <row r="18" spans="1:6" ht="33" customHeight="1" x14ac:dyDescent="0.3">
      <c r="D18" s="17" t="s">
        <v>0</v>
      </c>
      <c r="E18" s="18"/>
      <c r="F18" s="19"/>
    </row>
    <row r="19" spans="1:6" ht="15.6" x14ac:dyDescent="0.3">
      <c r="D19" s="31" t="s">
        <v>1</v>
      </c>
      <c r="E19" s="32"/>
      <c r="F19" s="3">
        <f>F16</f>
        <v>600</v>
      </c>
    </row>
    <row r="20" spans="1:6" ht="15.6" x14ac:dyDescent="0.3">
      <c r="D20" s="31" t="s">
        <v>2</v>
      </c>
      <c r="E20" s="32"/>
      <c r="F20" s="2">
        <v>5</v>
      </c>
    </row>
    <row r="21" spans="1:6" ht="15.6" x14ac:dyDescent="0.3">
      <c r="D21" s="31" t="s">
        <v>3</v>
      </c>
      <c r="E21" s="32"/>
      <c r="F21" s="4">
        <v>1.0800000000000001E-2</v>
      </c>
    </row>
    <row r="22" spans="1:6" ht="15.6" x14ac:dyDescent="0.3">
      <c r="D22" s="27" t="s">
        <v>5</v>
      </c>
      <c r="E22" s="28"/>
      <c r="F22" s="8">
        <f>FV(taxa_mensal,qtd_anos*12,aporte*-1)</f>
        <v>50282.411615555058</v>
      </c>
    </row>
    <row r="23" spans="1:6" ht="16.2" thickBot="1" x14ac:dyDescent="0.35">
      <c r="D23" s="29" t="s">
        <v>4</v>
      </c>
      <c r="E23" s="30"/>
      <c r="F23" s="9">
        <f>patrimonio*rendimento_carteira</f>
        <v>502.8241161555506</v>
      </c>
    </row>
    <row r="24" spans="1:6" ht="15" thickBot="1" x14ac:dyDescent="0.35">
      <c r="D24" s="33"/>
      <c r="E24" s="33"/>
    </row>
    <row r="25" spans="1:6" ht="21" x14ac:dyDescent="0.4">
      <c r="D25" s="20" t="s">
        <v>6</v>
      </c>
      <c r="E25" s="21"/>
      <c r="F25" s="22" t="s">
        <v>12</v>
      </c>
    </row>
    <row r="26" spans="1:6" ht="15.6" x14ac:dyDescent="0.3">
      <c r="A26">
        <v>2</v>
      </c>
      <c r="D26" s="34" t="s">
        <v>7</v>
      </c>
      <c r="E26" s="23">
        <f>FV($F$21,A26*12,$F$19*-1)</f>
        <v>16338.518196348954</v>
      </c>
      <c r="F26" s="24">
        <f>E26*rendimento_carteira</f>
        <v>163.38518196348954</v>
      </c>
    </row>
    <row r="27" spans="1:6" ht="15.6" x14ac:dyDescent="0.3">
      <c r="A27">
        <v>5</v>
      </c>
      <c r="D27" s="34" t="s">
        <v>8</v>
      </c>
      <c r="E27" s="23">
        <f>FV($F$21,A27*12,$F$19*-1)</f>
        <v>50282.411615555058</v>
      </c>
      <c r="F27" s="24">
        <f>E27*rendimento_carteira</f>
        <v>502.8241161555506</v>
      </c>
    </row>
    <row r="28" spans="1:6" ht="15.6" x14ac:dyDescent="0.3">
      <c r="A28">
        <v>10</v>
      </c>
      <c r="D28" s="34" t="s">
        <v>9</v>
      </c>
      <c r="E28" s="23">
        <f>FV($F$21,A28*12,$F$19*-1)</f>
        <v>146074.59975288005</v>
      </c>
      <c r="F28" s="24">
        <f>E28*rendimento_carteira</f>
        <v>1460.7459975288004</v>
      </c>
    </row>
    <row r="29" spans="1:6" ht="15.6" x14ac:dyDescent="0.3">
      <c r="A29">
        <v>20</v>
      </c>
      <c r="D29" s="34" t="s">
        <v>10</v>
      </c>
      <c r="E29" s="23">
        <f>FV($F$21,A29*12,$F$19*-1)</f>
        <v>676229.39597911399</v>
      </c>
      <c r="F29" s="24">
        <f>E29*rendimento_carteira</f>
        <v>6762.29395979114</v>
      </c>
    </row>
    <row r="30" spans="1:6" ht="16.2" thickBot="1" x14ac:dyDescent="0.35">
      <c r="A30">
        <v>30</v>
      </c>
      <c r="D30" s="35" t="s">
        <v>11</v>
      </c>
      <c r="E30" s="25">
        <f>FV($F$21,A30*12,$F$19*-1)</f>
        <v>2600342.8861900507</v>
      </c>
      <c r="F30" s="26">
        <f>E30*rendimento_carteira</f>
        <v>26003.428861900509</v>
      </c>
    </row>
    <row r="31" spans="1:6" ht="15" thickBot="1" x14ac:dyDescent="0.35">
      <c r="D31" s="5"/>
      <c r="E31" s="6"/>
      <c r="F31" s="7"/>
    </row>
    <row r="34" spans="4:6" x14ac:dyDescent="0.3">
      <c r="D34" s="58" t="s">
        <v>18</v>
      </c>
      <c r="E34" s="59" t="s">
        <v>32</v>
      </c>
      <c r="F34" s="58"/>
    </row>
    <row r="35" spans="4:6" x14ac:dyDescent="0.3">
      <c r="D35" s="38" t="s">
        <v>17</v>
      </c>
      <c r="E35" s="39">
        <v>500</v>
      </c>
      <c r="F35" s="38"/>
    </row>
    <row r="36" spans="4:6" ht="15" thickBot="1" x14ac:dyDescent="0.35"/>
    <row r="37" spans="4:6" ht="15" thickBot="1" x14ac:dyDescent="0.35">
      <c r="D37" s="40" t="s">
        <v>19</v>
      </c>
      <c r="E37" s="41" t="s">
        <v>26</v>
      </c>
      <c r="F37" s="42" t="s">
        <v>27</v>
      </c>
    </row>
    <row r="38" spans="4:6" x14ac:dyDescent="0.3">
      <c r="D38" s="11" t="s">
        <v>20</v>
      </c>
      <c r="E38" s="36">
        <f>VLOOKUP($E$34&amp;"-"&amp;D38,Sheet2!A:D,4,FALSE)</f>
        <v>0.32</v>
      </c>
      <c r="F38" s="37">
        <f>E38*$E$35</f>
        <v>160</v>
      </c>
    </row>
    <row r="39" spans="4:6" x14ac:dyDescent="0.3">
      <c r="D39" s="11" t="s">
        <v>21</v>
      </c>
      <c r="E39" s="36">
        <f>VLOOKUP($E$34&amp;"-"&amp;D39,Sheet2!A:D,4,FALSE)</f>
        <v>0.35</v>
      </c>
      <c r="F39" s="37">
        <f>E39*$E$35</f>
        <v>175</v>
      </c>
    </row>
    <row r="40" spans="4:6" x14ac:dyDescent="0.3">
      <c r="D40" s="11" t="s">
        <v>22</v>
      </c>
      <c r="E40" s="36">
        <f>VLOOKUP($E$34&amp;"-"&amp;D40,Sheet2!A:D,4,FALSE)</f>
        <v>0.08</v>
      </c>
      <c r="F40" s="37">
        <f>E40*$E$35</f>
        <v>40</v>
      </c>
    </row>
    <row r="41" spans="4:6" x14ac:dyDescent="0.3">
      <c r="D41" s="11" t="s">
        <v>23</v>
      </c>
      <c r="E41" s="36">
        <f>VLOOKUP($E$34&amp;"-"&amp;D41,Sheet2!A:D,4,FALSE)</f>
        <v>0.05</v>
      </c>
      <c r="F41" s="37">
        <f>E41*$E$35</f>
        <v>25</v>
      </c>
    </row>
    <row r="42" spans="4:6" x14ac:dyDescent="0.3">
      <c r="D42" s="11" t="s">
        <v>24</v>
      </c>
      <c r="E42" s="36">
        <f>VLOOKUP($E$34&amp;"-"&amp;D42,Sheet2!A:D,4,FALSE)</f>
        <v>0.1</v>
      </c>
      <c r="F42" s="37">
        <f>E42*$E$35</f>
        <v>50</v>
      </c>
    </row>
    <row r="43" spans="4:6" x14ac:dyDescent="0.3">
      <c r="D43" s="11" t="s">
        <v>25</v>
      </c>
      <c r="E43" s="36">
        <f>VLOOKUP($E$34&amp;"-"&amp;D43,Sheet2!A:D,4,FALSE)</f>
        <v>0.1</v>
      </c>
      <c r="F43" s="37">
        <f>E43*$E$35</f>
        <v>50</v>
      </c>
    </row>
    <row r="44" spans="4:6" x14ac:dyDescent="0.3">
      <c r="D44" s="56"/>
      <c r="E44" s="56"/>
      <c r="F44" s="57">
        <f>SUM(F38:F43)</f>
        <v>500</v>
      </c>
    </row>
    <row r="49" customFormat="1" x14ac:dyDescent="0.3"/>
    <row r="50" customFormat="1" x14ac:dyDescent="0.3"/>
    <row r="51" customFormat="1" x14ac:dyDescent="0.3"/>
    <row r="52" customFormat="1" x14ac:dyDescent="0.3"/>
    <row r="53" customFormat="1" x14ac:dyDescent="0.3"/>
    <row r="54" customFormat="1" x14ac:dyDescent="0.3"/>
    <row r="55" customFormat="1" x14ac:dyDescent="0.3"/>
    <row r="56" customFormat="1" x14ac:dyDescent="0.3"/>
    <row r="57" customFormat="1" x14ac:dyDescent="0.3"/>
    <row r="58" customFormat="1" x14ac:dyDescent="0.3"/>
    <row r="59" customFormat="1" x14ac:dyDescent="0.3"/>
    <row r="60" customFormat="1" x14ac:dyDescent="0.3"/>
    <row r="61" customFormat="1" x14ac:dyDescent="0.3"/>
    <row r="62" customFormat="1" x14ac:dyDescent="0.3"/>
    <row r="63" customFormat="1" x14ac:dyDescent="0.3"/>
    <row r="64" customFormat="1" x14ac:dyDescent="0.3"/>
    <row r="65" customFormat="1" x14ac:dyDescent="0.3"/>
    <row r="66" customFormat="1" x14ac:dyDescent="0.3"/>
    <row r="67" customFormat="1" x14ac:dyDescent="0.3"/>
    <row r="68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</sheetData>
  <mergeCells count="11">
    <mergeCell ref="D25:E25"/>
    <mergeCell ref="D13:F13"/>
    <mergeCell ref="D18:F18"/>
    <mergeCell ref="D14:E14"/>
    <mergeCell ref="D15:E15"/>
    <mergeCell ref="D16:E16"/>
    <mergeCell ref="D19:E19"/>
    <mergeCell ref="D22:E22"/>
    <mergeCell ref="D23:E23"/>
    <mergeCell ref="D20:E20"/>
    <mergeCell ref="D21:E21"/>
  </mergeCells>
  <dataValidations count="1">
    <dataValidation type="list" allowBlank="1" showInputMessage="1" showErrorMessage="1" sqref="E34" xr:uid="{AE365AED-456E-4A1C-B145-DDEA570D35FC}">
      <formula1>"AGRESSIVO,MODERADO,CONSERVADOR"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EA6C-EE2F-49D7-B07B-1E92C4760092}">
  <dimension ref="A2:D21"/>
  <sheetViews>
    <sheetView workbookViewId="0">
      <selection activeCell="D14" sqref="D14"/>
    </sheetView>
  </sheetViews>
  <sheetFormatPr defaultRowHeight="14.4" x14ac:dyDescent="0.3"/>
  <cols>
    <col min="1" max="1" width="33.44140625" customWidth="1"/>
    <col min="2" max="2" width="16.6640625" customWidth="1"/>
    <col min="3" max="3" width="17.6640625" bestFit="1" customWidth="1"/>
    <col min="4" max="4" width="8.88671875" style="49"/>
  </cols>
  <sheetData>
    <row r="2" spans="1:4" ht="15" thickBot="1" x14ac:dyDescent="0.35"/>
    <row r="3" spans="1:4" ht="15" thickBot="1" x14ac:dyDescent="0.35">
      <c r="A3" s="53" t="s">
        <v>31</v>
      </c>
      <c r="B3" s="54" t="s">
        <v>18</v>
      </c>
      <c r="C3" s="54" t="s">
        <v>19</v>
      </c>
      <c r="D3" s="55" t="s">
        <v>30</v>
      </c>
    </row>
    <row r="4" spans="1:4" x14ac:dyDescent="0.3">
      <c r="A4" s="43" t="str">
        <f>B4&amp;"-"&amp;C4</f>
        <v xml:space="preserve">CONSERVADOR-PAPEL </v>
      </c>
      <c r="B4" s="44" t="s">
        <v>29</v>
      </c>
      <c r="C4" s="44" t="s">
        <v>20</v>
      </c>
      <c r="D4" s="50">
        <v>0.3</v>
      </c>
    </row>
    <row r="5" spans="1:4" x14ac:dyDescent="0.3">
      <c r="A5" s="45" t="str">
        <f t="shared" ref="A5:A21" si="0">B5&amp;"-"&amp;C5</f>
        <v>CONSERVADOR-TIJOLO</v>
      </c>
      <c r="B5" s="46" t="s">
        <v>29</v>
      </c>
      <c r="C5" s="46" t="s">
        <v>21</v>
      </c>
      <c r="D5" s="51">
        <v>0.5</v>
      </c>
    </row>
    <row r="6" spans="1:4" x14ac:dyDescent="0.3">
      <c r="A6" s="45" t="str">
        <f t="shared" si="0"/>
        <v>CONSERVADOR-HÍBRIDOS</v>
      </c>
      <c r="B6" s="46" t="s">
        <v>29</v>
      </c>
      <c r="C6" s="46" t="s">
        <v>22</v>
      </c>
      <c r="D6" s="51">
        <v>0.1</v>
      </c>
    </row>
    <row r="7" spans="1:4" x14ac:dyDescent="0.3">
      <c r="A7" s="45" t="str">
        <f t="shared" si="0"/>
        <v>CONSERVADOR-FOFs</v>
      </c>
      <c r="B7" s="46" t="s">
        <v>29</v>
      </c>
      <c r="C7" s="46" t="s">
        <v>23</v>
      </c>
      <c r="D7" s="51">
        <v>0.1</v>
      </c>
    </row>
    <row r="8" spans="1:4" x14ac:dyDescent="0.3">
      <c r="A8" s="45" t="str">
        <f t="shared" si="0"/>
        <v>CONSERVADOR-DESENVOLVIMENTO</v>
      </c>
      <c r="B8" s="46" t="s">
        <v>29</v>
      </c>
      <c r="C8" s="46" t="s">
        <v>24</v>
      </c>
      <c r="D8" s="51">
        <v>0</v>
      </c>
    </row>
    <row r="9" spans="1:4" ht="15" thickBot="1" x14ac:dyDescent="0.35">
      <c r="A9" s="47" t="str">
        <f t="shared" si="0"/>
        <v>CONSERVADOR-HOTELARIAS</v>
      </c>
      <c r="B9" s="48" t="s">
        <v>29</v>
      </c>
      <c r="C9" s="48" t="s">
        <v>25</v>
      </c>
      <c r="D9" s="52">
        <v>0</v>
      </c>
    </row>
    <row r="10" spans="1:4" x14ac:dyDescent="0.3">
      <c r="A10" s="43" t="str">
        <f t="shared" si="0"/>
        <v xml:space="preserve">MODERADO-PAPEL </v>
      </c>
      <c r="B10" s="44" t="s">
        <v>32</v>
      </c>
      <c r="C10" s="44" t="s">
        <v>20</v>
      </c>
      <c r="D10" s="50">
        <v>0.32</v>
      </c>
    </row>
    <row r="11" spans="1:4" x14ac:dyDescent="0.3">
      <c r="A11" s="45" t="str">
        <f t="shared" si="0"/>
        <v>MODERADO-TIJOLO</v>
      </c>
      <c r="B11" s="46" t="s">
        <v>32</v>
      </c>
      <c r="C11" s="46" t="s">
        <v>21</v>
      </c>
      <c r="D11" s="51">
        <v>0.35</v>
      </c>
    </row>
    <row r="12" spans="1:4" x14ac:dyDescent="0.3">
      <c r="A12" s="45" t="str">
        <f t="shared" si="0"/>
        <v>MODERADO-HÍBRIDOS</v>
      </c>
      <c r="B12" s="46" t="s">
        <v>32</v>
      </c>
      <c r="C12" s="46" t="s">
        <v>22</v>
      </c>
      <c r="D12" s="51">
        <v>0.08</v>
      </c>
    </row>
    <row r="13" spans="1:4" x14ac:dyDescent="0.3">
      <c r="A13" s="45" t="str">
        <f t="shared" si="0"/>
        <v>MODERADO-FOFs</v>
      </c>
      <c r="B13" s="46" t="s">
        <v>32</v>
      </c>
      <c r="C13" s="46" t="s">
        <v>23</v>
      </c>
      <c r="D13" s="51">
        <v>0.05</v>
      </c>
    </row>
    <row r="14" spans="1:4" x14ac:dyDescent="0.3">
      <c r="A14" s="45" t="str">
        <f t="shared" si="0"/>
        <v>MODERADO-DESENVOLVIMENTO</v>
      </c>
      <c r="B14" s="46" t="s">
        <v>32</v>
      </c>
      <c r="C14" s="46" t="s">
        <v>24</v>
      </c>
      <c r="D14" s="51">
        <v>0.1</v>
      </c>
    </row>
    <row r="15" spans="1:4" ht="15" thickBot="1" x14ac:dyDescent="0.35">
      <c r="A15" s="47" t="str">
        <f t="shared" si="0"/>
        <v>MODERADO-HOTELARIAS</v>
      </c>
      <c r="B15" s="48" t="s">
        <v>32</v>
      </c>
      <c r="C15" s="48" t="s">
        <v>25</v>
      </c>
      <c r="D15" s="52">
        <v>0.1</v>
      </c>
    </row>
    <row r="16" spans="1:4" x14ac:dyDescent="0.3">
      <c r="A16" s="43" t="str">
        <f t="shared" si="0"/>
        <v xml:space="preserve">AGRESSIVO-PAPEL </v>
      </c>
      <c r="B16" s="44" t="s">
        <v>28</v>
      </c>
      <c r="C16" s="44" t="s">
        <v>20</v>
      </c>
      <c r="D16" s="50">
        <v>0.5</v>
      </c>
    </row>
    <row r="17" spans="1:4" x14ac:dyDescent="0.3">
      <c r="A17" s="45" t="str">
        <f t="shared" si="0"/>
        <v>AGRESSIVO-TIJOLO</v>
      </c>
      <c r="B17" s="46" t="s">
        <v>28</v>
      </c>
      <c r="C17" s="46" t="s">
        <v>21</v>
      </c>
      <c r="D17" s="51">
        <v>0.1</v>
      </c>
    </row>
    <row r="18" spans="1:4" x14ac:dyDescent="0.3">
      <c r="A18" s="45" t="str">
        <f t="shared" si="0"/>
        <v>AGRESSIVO-HÍBRIDOS</v>
      </c>
      <c r="B18" s="46" t="s">
        <v>28</v>
      </c>
      <c r="C18" s="46" t="s">
        <v>22</v>
      </c>
      <c r="D18" s="51">
        <v>0.05</v>
      </c>
    </row>
    <row r="19" spans="1:4" x14ac:dyDescent="0.3">
      <c r="A19" s="45" t="str">
        <f t="shared" si="0"/>
        <v>AGRESSIVO-FOFs</v>
      </c>
      <c r="B19" s="46" t="s">
        <v>28</v>
      </c>
      <c r="C19" s="46" t="s">
        <v>23</v>
      </c>
      <c r="D19" s="51">
        <v>0.05</v>
      </c>
    </row>
    <row r="20" spans="1:4" x14ac:dyDescent="0.3">
      <c r="A20" s="45" t="str">
        <f t="shared" si="0"/>
        <v>AGRESSIVO-DESENVOLVIMENTO</v>
      </c>
      <c r="B20" s="46" t="s">
        <v>28</v>
      </c>
      <c r="C20" s="46" t="s">
        <v>24</v>
      </c>
      <c r="D20" s="51">
        <v>0.2</v>
      </c>
    </row>
    <row r="21" spans="1:4" ht="15" thickBot="1" x14ac:dyDescent="0.35">
      <c r="A21" s="47" t="str">
        <f t="shared" si="0"/>
        <v>AGRESSIVO-HOTELARIAS</v>
      </c>
      <c r="B21" s="48" t="s">
        <v>28</v>
      </c>
      <c r="C21" s="48" t="s">
        <v>25</v>
      </c>
      <c r="D21" s="52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Sheet1</vt:lpstr>
      <vt:lpstr>Sheet2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Quiessi, Cezar (GE Vernova)</dc:creator>
  <cp:lastModifiedBy>Quiessi, Cezar (GE Vernova)</cp:lastModifiedBy>
  <dcterms:created xsi:type="dcterms:W3CDTF">2026-01-24T21:40:09Z</dcterms:created>
  <dcterms:modified xsi:type="dcterms:W3CDTF">2026-01-26T22:29:00Z</dcterms:modified>
</cp:coreProperties>
</file>